
<file path=[Content_Types].xml><?xml version="1.0" encoding="utf-8"?>
<Types xmlns="http://schemas.openxmlformats.org/package/2006/content-types">
  <Default Extension="xml" ContentType="application/xml"/>
  <Default Extension="rels" ContentType="application/vnd.openxmlformats-package.relationships+xml"/>
  <Default Extension="png" ContentType="image/png"/>
  <Default Extension="jpeg" ContentType="image/jpeg"/>
  <Override PartName="/_rels/.rels" ContentType="application/vnd.openxmlformats-package.relationships+xml"/>
  <Override PartName="/xl/workbook.xml" ContentType="application/vnd.openxmlformats-officedocument.spreadsheetml.sheet.main+xml"/>
  <Override PartName="/xl/styles.xml" ContentType="application/vnd.openxmlformats-officedocument.spreadsheetml.styles+xml"/>
  <Override PartName="/xl/worksheets/_rels/sheet2.xml.rels" ContentType="application/vnd.openxmlformats-package.relationships+xml"/>
  <Override PartName="/xl/worksheets/_rels/sheet1.xml.rels" ContentType="application/vnd.openxmlformats-package.relationship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_rels/workbook.xml.rels" ContentType="application/vnd.openxmlformats-package.relationships+xml"/>
  <Override PartName="/xl/sharedStrings.xml" ContentType="application/vnd.openxmlformats-officedocument.spreadsheetml.sharedStrings+xml"/>
  <Override PartName="/xl/charts/chart1.xml" ContentType="application/vnd.openxmlformats-officedocument.drawingml.chart+xml"/>
  <Override PartName="/xl/drawings/_rels/drawing2.xml.rels" ContentType="application/vnd.openxmlformats-package.relationships+xml"/>
  <Override PartName="/xl/drawings/drawing1.xml" ContentType="application/vnd.openxmlformats-officedocument.drawing+xml"/>
  <Override PartName="/xl/drawings/drawing2.xml" ContentType="application/vnd.openxmlformats-officedocument.drawing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4" Type="http://schemas.openxmlformats.org/officeDocument/2006/relationships/custom-properties" Target="docProps/custom.xml"/>
</Relationships>
</file>

<file path=xl/workbook.xml><?xml version="1.0" encoding="utf-8"?>
<workbook xmlns="http://schemas.openxmlformats.org/spreadsheetml/2006/main" xmlns:r="http://schemas.openxmlformats.org/officeDocument/2006/relationships">
  <fileVersion appName="Calc"/>
  <workbookPr backupFile="false" showObjects="all" date1904="false"/>
  <workbookProtection/>
  <bookViews>
    <workbookView showHorizontalScroll="true" showVerticalScroll="true" showSheetTabs="true" xWindow="0" yWindow="0" windowWidth="16384" windowHeight="8192" tabRatio="500" firstSheet="0" activeTab="0"/>
  </bookViews>
  <sheets>
    <sheet name="Ledger" sheetId="1" state="visible" r:id="rId2"/>
    <sheet name="Dashboard" sheetId="2" state="visible" r:id="rId3"/>
    <sheet name="Rules" sheetId="3" state="visible" r:id="rId4"/>
  </sheets>
  <definedNames>
    <definedName function="false" hidden="false" localSheetId="1" name="_xlnm.Print_Titles" vbProcedure="false">Dashboard!$1:$2</definedName>
    <definedName function="false" hidden="false" localSheetId="0" name="_xlnm.Print_Titles" vbProcedure="false">Ledger!$1:$2</definedName>
    <definedName function="false" hidden="true" localSheetId="0" name="_xlnm._FilterDatabase" vbProcedure="false">Ledger!$A$2:$Z$40</definedName>
    <definedName function="false" hidden="false" localSheetId="2" name="_xlnm.Print_Titles" vbProcedure="false">Rules!$1:$2</definedName>
  </definedNames>
  <calcPr iterateCount="100" refMode="A1" iterate="false" iterateDelta="0.0001"/>
  <extLst>
    <ext xmlns:loext="http://schemas.libreoffice.org/" uri="{7626C862-2A13-11E5-B345-FEFF819CDC9F}">
      <loext:extCalcPr stringRefSyntax="ExcelA1"/>
    </ext>
  </extLst>
</workbook>
</file>

<file path=xl/sharedStrings.xml><?xml version="1.0" encoding="utf-8"?>
<sst xmlns="http://schemas.openxmlformats.org/spreadsheetml/2006/main" count="172" uniqueCount="150">
  <si>
    <t xml:space="preserve">PUBLIC PROOF LEDGER  ·  yellow cells are inputs  ·  black cells are formulas  ·  do not edit Line got after post</t>
  </si>
  <si>
    <t xml:space="preserve">ID</t>
  </si>
  <si>
    <t xml:space="preserve">Posted</t>
  </si>
  <si>
    <t xml:space="preserve">Timing</t>
  </si>
  <si>
    <t xml:space="preserve">Sport</t>
  </si>
  <si>
    <t xml:space="preserve">Matchup</t>
  </si>
  <si>
    <t xml:space="preserve">Market</t>
  </si>
  <si>
    <t xml:space="preserve">Book</t>
  </si>
  <si>
    <t xml:space="preserve">Line got</t>
  </si>
  <si>
    <t xml:space="preserve">Side</t>
  </si>
  <si>
    <t xml:space="preserve">Units</t>
  </si>
  <si>
    <t xml:space="preserve">Gate</t>
  </si>
  <si>
    <t xml:space="preserve">Chain</t>
  </si>
  <si>
    <t xml:space="preserve">Mismatch</t>
  </si>
  <si>
    <t xml:space="preserve">Kill switch</t>
  </si>
  <si>
    <t xml:space="preserve">Result</t>
  </si>
  <si>
    <t xml:space="preserve">Closing line</t>
  </si>
  <si>
    <t xml:space="preserve">CLV pts</t>
  </si>
  <si>
    <t xml:space="preserve">P/L u</t>
  </si>
  <si>
    <t xml:space="preserve">Notes</t>
  </si>
  <si>
    <t xml:space="preserve">001</t>
  </si>
  <si>
    <t xml:space="preserve">2026-10-01 20:00</t>
  </si>
  <si>
    <t xml:space="preserve">PRE</t>
  </si>
  <si>
    <t xml:space="preserve">NFL</t>
  </si>
  <si>
    <t xml:space="preserve">Steelers @ Browns</t>
  </si>
  <si>
    <t xml:space="preserve">Spread</t>
  </si>
  <si>
    <t xml:space="preserve">Browns +2.5</t>
  </si>
  <si>
    <t xml:space="preserve">Pass-rush edge not certain</t>
  </si>
  <si>
    <t xml:space="preserve">INT → short field → score</t>
  </si>
  <si>
    <t xml:space="preserve">Market ~59% PIT; chains on dog</t>
  </si>
  <si>
    <t xml:space="preserve">Stop if PIT up 17+ in 1H</t>
  </si>
  <si>
    <t xml:space="preserve">W</t>
  </si>
  <si>
    <t xml:space="preserve">CLE 27-24. Calibration game. Original model missed winner; chain revision caught path.</t>
  </si>
  <si>
    <t xml:space="preserve">002</t>
  </si>
  <si>
    <t xml:space="preserve">2026-10-02 19:10</t>
  </si>
  <si>
    <t xml:space="preserve">Jaguars @ Bengals</t>
  </si>
  <si>
    <t xml:space="preserve">Jaguars +2.5</t>
  </si>
  <si>
    <t xml:space="preserve">Dugger OUT secondary stress</t>
  </si>
  <si>
    <t xml:space="preserve">jax_vs_thin_secondary → SCORE</t>
  </si>
  <si>
    <t xml:space="preserve">Dog edge ~15–18 pts vs CIN −2.5</t>
  </si>
  <si>
    <t xml:space="preserve">Stop if CIN up 17+ in 1H</t>
  </si>
  <si>
    <t xml:space="preserve">Sunday 1:00. Fitted-β / IKOC lean.</t>
  </si>
  <si>
    <t xml:space="preserve">003</t>
  </si>
  <si>
    <t xml:space="preserve">2026-10-02 19:57</t>
  </si>
  <si>
    <t xml:space="preserve">LIVE</t>
  </si>
  <si>
    <t xml:space="preserve">NCAAF</t>
  </si>
  <si>
    <t xml:space="preserve">Pitt @ Virginia Tech</t>
  </si>
  <si>
    <t xml:space="preserve">Hard Rock</t>
  </si>
  <si>
    <t xml:space="preserve">Pitt +8.5</t>
  </si>
  <si>
    <t xml:space="preserve">4-0 vs 4-0 dog; VT edge already scoring</t>
  </si>
  <si>
    <t xml:space="preserve">Dog trailing → pass volume</t>
  </si>
  <si>
    <t xml:space="preserve">Pregame +1.5; live +8.5 compensates 7-pt deficit</t>
  </si>
  <si>
    <t xml:space="preserve">Stop if VT up 21+ in 1H</t>
  </si>
  <si>
    <t xml:space="preserve">User live number. Screenshot was 14-7, 2nd Q.</t>
  </si>
  <si>
    <t xml:space="preserve">004</t>
  </si>
  <si>
    <t xml:space="preserve">2026-10-02 19:40</t>
  </si>
  <si>
    <t xml:space="preserve">Liberty @ Delaware</t>
  </si>
  <si>
    <t xml:space="preserve">Liberty −7</t>
  </si>
  <si>
    <t xml:space="preserve">Talent gap high p_realize</t>
  </si>
  <si>
    <t xml:space="preserve">Favorite sustained drive</t>
  </si>
  <si>
    <t xml:space="preserve">Not a trap number</t>
  </si>
  <si>
    <t xml:space="preserve">Do not chase if live number past −10</t>
  </si>
  <si>
    <t xml:space="preserve">Early lead reported; hold, do not add.</t>
  </si>
  <si>
    <t xml:space="preserve">005</t>
  </si>
  <si>
    <t xml:space="preserve">2026-10-02 19:50</t>
  </si>
  <si>
    <t xml:space="preserve">Penn State @ Northwestern</t>
  </si>
  <si>
    <t xml:space="preserve">Northwestern +2.5</t>
  </si>
  <si>
    <t xml:space="preserve">Line crash −7 to −2.5</t>
  </si>
  <si>
    <t xml:space="preserve">Home / new Ryan Field</t>
  </si>
  <si>
    <t xml:space="preserve">Biggest mismatch on Friday card</t>
  </si>
  <si>
    <t xml:space="preserve">Only add if still within 10</t>
  </si>
  <si>
    <t xml:space="preserve">Highest-confidence dog besides Pitt live.</t>
  </si>
  <si>
    <t xml:space="preserve">006</t>
  </si>
  <si>
    <t xml:space="preserve">2026-10-02 20:03</t>
  </si>
  <si>
    <t xml:space="preserve">Montana St @ Idaho</t>
  </si>
  <si>
    <t xml:space="preserve">Idaho +14.5</t>
  </si>
  <si>
    <t xml:space="preserve">Big-number trap class</t>
  </si>
  <si>
    <t xml:space="preserve">Points only, not upset path</t>
  </si>
  <si>
    <t xml:space="preserve">Chalk 5-0 #1 FCS vs 0-4</t>
  </si>
  <si>
    <t xml:space="preserve">No ML. Points only.</t>
  </si>
  <si>
    <t xml:space="preserve">10:30 ET. Prefer +16.5 if available.</t>
  </si>
  <si>
    <t xml:space="preserve">007</t>
  </si>
  <si>
    <t xml:space="preserve">008</t>
  </si>
  <si>
    <t xml:space="preserve">009</t>
  </si>
  <si>
    <t xml:space="preserve">010</t>
  </si>
  <si>
    <t xml:space="preserve">011</t>
  </si>
  <si>
    <t xml:space="preserve">012</t>
  </si>
  <si>
    <t xml:space="preserve">013</t>
  </si>
  <si>
    <t xml:space="preserve">014</t>
  </si>
  <si>
    <t xml:space="preserve">015</t>
  </si>
  <si>
    <t xml:space="preserve">016</t>
  </si>
  <si>
    <t xml:space="preserve">017</t>
  </si>
  <si>
    <t xml:space="preserve">018</t>
  </si>
  <si>
    <t xml:space="preserve">019</t>
  </si>
  <si>
    <t xml:space="preserve">020</t>
  </si>
  <si>
    <t xml:space="preserve">021</t>
  </si>
  <si>
    <t xml:space="preserve">022</t>
  </si>
  <si>
    <t xml:space="preserve">023</t>
  </si>
  <si>
    <t xml:space="preserve">024</t>
  </si>
  <si>
    <t xml:space="preserve">025</t>
  </si>
  <si>
    <t xml:space="preserve">026</t>
  </si>
  <si>
    <t xml:space="preserve">027</t>
  </si>
  <si>
    <t xml:space="preserve">028</t>
  </si>
  <si>
    <t xml:space="preserve">029</t>
  </si>
  <si>
    <t xml:space="preserve">030</t>
  </si>
  <si>
    <t xml:space="preserve">PROOF DASHBOARD</t>
  </si>
  <si>
    <t xml:space="preserve">Formulas read Ledger rows 3–40. Fill Result and Closing line to update.</t>
  </si>
  <si>
    <t xml:space="preserve">Graded plays</t>
  </si>
  <si>
    <t xml:space="preserve">Wins</t>
  </si>
  <si>
    <t xml:space="preserve">Losses</t>
  </si>
  <si>
    <t xml:space="preserve">Pushes</t>
  </si>
  <si>
    <t xml:space="preserve">Hit rate</t>
  </si>
  <si>
    <t xml:space="preserve">Units staked</t>
  </si>
  <si>
    <t xml:space="preserve">Net units</t>
  </si>
  <si>
    <t xml:space="preserve">ROI</t>
  </si>
  <si>
    <t xml:space="preserve">Avg CLV (pts)</t>
  </si>
  <si>
    <t xml:space="preserve">Posted rows</t>
  </si>
  <si>
    <t xml:space="preserve">STRIPE GATE</t>
  </si>
  <si>
    <t xml:space="preserve">Open paid tier only if graded plays ≥ 40 OR average CLV &gt; 0 with at least 25 closes.</t>
  </si>
  <si>
    <t xml:space="preserve">BY SPORT</t>
  </si>
  <si>
    <t xml:space="preserve">Graded</t>
  </si>
  <si>
    <t xml:space="preserve">Net u</t>
  </si>
  <si>
    <t xml:space="preserve">UFC</t>
  </si>
  <si>
    <t xml:space="preserve">GATE / CHAIN LEDGER</t>
  </si>
  <si>
    <t xml:space="preserve">One row per play. Posted before the bet. Graded after. No rewrites.</t>
  </si>
  <si>
    <t xml:space="preserve">HOW A ROW GETS WRITTEN</t>
  </si>
  <si>
    <t xml:space="preserve">1. Timestamp</t>
  </si>
  <si>
    <t xml:space="preserve">Record local time before the wager. If the clock is after kickoff, mark timing = LIVE.</t>
  </si>
  <si>
    <t xml:space="preserve">2. Line locked</t>
  </si>
  <si>
    <t xml:space="preserve">Write the number you actually got (Hard Rock or whichever book), not the consensus.</t>
  </si>
  <si>
    <t xml:space="preserve">3. Gate</t>
  </si>
  <si>
    <t xml:space="preserve">Name the structural edge and whether it is certain or only probable (p_realize).</t>
  </si>
  <si>
    <t xml:space="preserve">4. Chain</t>
  </si>
  <si>
    <t xml:space="preserve">Name the scoring path that has to fire: takeaway → short field, YAC chunk, sustained red zone, backup-QB stress.</t>
  </si>
  <si>
    <t xml:space="preserve">5. Mismatch</t>
  </si>
  <si>
    <t xml:space="preserve">Say how far the board disagrees with that path. This is the reason for the bet.</t>
  </si>
  <si>
    <t xml:space="preserve">6. Units</t>
  </si>
  <si>
    <t xml:space="preserve">0.5 default live add. 1.0 standard. 2.0 only if mismatch is extreme and margin is still live.</t>
  </si>
  <si>
    <t xml:space="preserve">7. Grade</t>
  </si>
  <si>
    <t xml:space="preserve">W / L / P after the game. Closing line in the CLV columns. Never edit the posted line.</t>
  </si>
  <si>
    <t xml:space="preserve">UNIT AND KILL RULES</t>
  </si>
  <si>
    <t xml:space="preserve">Pregame</t>
  </si>
  <si>
    <t xml:space="preserve">1.0u standard. 0.5u if confidence is low. 2.0u only when mismatch is large and the gate is not already priced.</t>
  </si>
  <si>
    <t xml:space="preserve">Live</t>
  </si>
  <si>
    <t xml:space="preserve">0.5–1.0u add. Max 2.0u total on one game. No get-it-back doubles.</t>
  </si>
  <si>
    <t xml:space="preserve">Stop adding if the favorite leads by 17+ in the first half, or the live number no longer beats the pregame lean.</t>
  </si>
  <si>
    <t xml:space="preserve">CLV</t>
  </si>
  <si>
    <t xml:space="preserve">Closing line minus your line, in points, signed so positive means you beat the close.</t>
  </si>
  <si>
    <t xml:space="preserve">Proof bar</t>
  </si>
  <si>
    <t xml:space="preserve">Do not open Stripe until 40 graded plays or clear positive CLV, whichever comes with a sample.</t>
  </si>
</sst>
</file>

<file path=xl/styles.xml><?xml version="1.0" encoding="utf-8"?>
<styleSheet xmlns="http://schemas.openxmlformats.org/spreadsheetml/2006/main">
  <numFmts count="7">
    <numFmt numFmtId="164" formatCode="General"/>
    <numFmt numFmtId="165" formatCode="0.0"/>
    <numFmt numFmtId="166" formatCode="0.0;\−0.0;\—"/>
    <numFmt numFmtId="167" formatCode="0.00;\−0.00;\—"/>
    <numFmt numFmtId="168" formatCode="General"/>
    <numFmt numFmtId="169" formatCode="0.0%"/>
    <numFmt numFmtId="170" formatCode="0.00"/>
  </numFmts>
  <fonts count="19">
    <font>
      <sz val="11"/>
      <color rgb="FF000000"/>
      <name val="Calibri"/>
      <family val="2"/>
      <charset val="1"/>
    </font>
    <font>
      <sz val="10"/>
      <name val="Arial"/>
      <family val="0"/>
    </font>
    <font>
      <sz val="10"/>
      <name val="Arial"/>
      <family val="0"/>
    </font>
    <font>
      <sz val="10"/>
      <name val="Arial"/>
      <family val="0"/>
    </font>
    <font>
      <b val="true"/>
      <sz val="11"/>
      <color rgb="FF111827"/>
      <name val="Arial"/>
      <family val="0"/>
      <charset val="1"/>
    </font>
    <font>
      <b val="true"/>
      <sz val="9"/>
      <color rgb="FFF9FAFB"/>
      <name val="Arial"/>
      <family val="0"/>
      <charset val="1"/>
    </font>
    <font>
      <sz val="9"/>
      <color rgb="FF1D4ED8"/>
      <name val="Arial"/>
      <family val="0"/>
      <charset val="1"/>
    </font>
    <font>
      <sz val="9"/>
      <color rgb="FF111827"/>
      <name val="Arial"/>
      <family val="0"/>
      <charset val="1"/>
    </font>
    <font>
      <b val="true"/>
      <sz val="20"/>
      <color rgb="FF111827"/>
      <name val="Arial"/>
      <family val="0"/>
      <charset val="1"/>
    </font>
    <font>
      <sz val="11"/>
      <color rgb="FF6B7280"/>
      <name val="Arial"/>
      <family val="0"/>
      <charset val="1"/>
    </font>
    <font>
      <b val="true"/>
      <sz val="14"/>
      <color rgb="FF111827"/>
      <name val="Arial"/>
      <family val="0"/>
      <charset val="1"/>
    </font>
    <font>
      <b val="true"/>
      <sz val="12"/>
      <color rgb="FFFFFFFF"/>
      <name val="Arial"/>
      <family val="0"/>
      <charset val="1"/>
    </font>
    <font>
      <sz val="11"/>
      <color rgb="FF111827"/>
      <name val="Arial"/>
      <family val="0"/>
      <charset val="1"/>
    </font>
    <font>
      <b val="true"/>
      <sz val="14"/>
      <color rgb="FF0F766E"/>
      <name val="Arial"/>
      <family val="0"/>
      <charset val="1"/>
    </font>
    <font>
      <b val="true"/>
      <sz val="10"/>
      <color rgb="FFF9FAFB"/>
      <name val="Arial"/>
      <family val="0"/>
      <charset val="1"/>
    </font>
    <font>
      <b val="true"/>
      <sz val="18"/>
      <color rgb="FF000000"/>
      <name val="Calibri"/>
      <family val="2"/>
    </font>
    <font>
      <sz val="10"/>
      <color rgb="FF000000"/>
      <name val="Calibri"/>
      <family val="2"/>
    </font>
    <font>
      <b val="true"/>
      <sz val="10"/>
      <color rgb="FF000000"/>
      <name val="Calibri"/>
      <family val="2"/>
    </font>
    <font>
      <b val="true"/>
      <sz val="22"/>
      <color rgb="FF111827"/>
      <name val="Arial"/>
      <family val="0"/>
      <charset val="1"/>
    </font>
  </fonts>
  <fills count="7">
    <fill>
      <patternFill patternType="none"/>
    </fill>
    <fill>
      <patternFill patternType="gray125"/>
    </fill>
    <fill>
      <patternFill patternType="solid">
        <fgColor rgb="FF111827"/>
        <bgColor rgb="FF000000"/>
      </patternFill>
    </fill>
    <fill>
      <patternFill patternType="solid">
        <fgColor rgb="FFFEF3C7"/>
        <bgColor rgb="FFFEE2E2"/>
      </patternFill>
    </fill>
    <fill>
      <patternFill patternType="solid">
        <fgColor rgb="FFFFFFFF"/>
        <bgColor rgb="FFF9FAFB"/>
      </patternFill>
    </fill>
    <fill>
      <patternFill patternType="solid">
        <fgColor rgb="FFF3F4F6"/>
        <bgColor rgb="FFF9F9F9"/>
      </patternFill>
    </fill>
    <fill>
      <patternFill patternType="solid">
        <fgColor rgb="FF374151"/>
        <bgColor rgb="FF333399"/>
      </patternFill>
    </fill>
  </fills>
  <borders count="2">
    <border diagonalUp="false" diagonalDown="false">
      <left/>
      <right/>
      <top/>
      <bottom/>
      <diagonal/>
    </border>
    <border diagonalUp="false" diagonalDown="false">
      <left style="thin">
        <color rgb="FFE5E7EB"/>
      </left>
      <right style="thin">
        <color rgb="FFE5E7EB"/>
      </right>
      <top style="thin">
        <color rgb="FFE5E7EB"/>
      </top>
      <bottom style="thin">
        <color rgb="FFE5E7EB"/>
      </bottom>
      <diagonal/>
    </border>
  </borders>
  <cellStyleXfs count="20">
    <xf numFmtId="164" fontId="0" fillId="0" borderId="0" applyFont="true" applyBorder="true" applyAlignment="true" applyProtection="true">
      <alignment horizontal="general" vertical="bottom" textRotation="0" wrapText="false" indent="0" shrinkToFit="false"/>
      <protection locked="true" hidden="false"/>
    </xf>
    <xf numFmtId="0" fontId="1" fillId="0" borderId="0" applyFont="true" applyBorder="false" applyAlignment="false" applyProtection="false"/>
    <xf numFmtId="0" fontId="1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2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0" fontId="0" fillId="0" borderId="0" applyFont="true" applyBorder="false" applyAlignment="false" applyProtection="false"/>
    <xf numFmtId="43" fontId="1" fillId="0" borderId="0" applyFont="true" applyBorder="false" applyAlignment="false" applyProtection="false"/>
    <xf numFmtId="41" fontId="1" fillId="0" borderId="0" applyFont="true" applyBorder="false" applyAlignment="false" applyProtection="false"/>
    <xf numFmtId="44" fontId="1" fillId="0" borderId="0" applyFont="true" applyBorder="false" applyAlignment="false" applyProtection="false"/>
    <xf numFmtId="42" fontId="1" fillId="0" borderId="0" applyFont="true" applyBorder="false" applyAlignment="false" applyProtection="false"/>
    <xf numFmtId="9" fontId="1" fillId="0" borderId="0" applyFont="true" applyBorder="false" applyAlignment="false" applyProtection="false"/>
  </cellStyleXfs>
  <cellXfs count="25">
    <xf numFmtId="164" fontId="0" fillId="0" borderId="0" xfId="0" applyFont="fals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0" borderId="0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4" fontId="5" fillId="2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5" fontId="6" fillId="3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6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7" fontId="7" fillId="4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9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5" borderId="1" xfId="0" applyFont="true" applyBorder="true" applyAlignment="true" applyProtection="false">
      <alignment horizontal="general" vertical="center" textRotation="0" wrapText="false" indent="0" shrinkToFit="false"/>
      <protection locked="true" hidden="false"/>
    </xf>
    <xf numFmtId="168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9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5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0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1" fillId="2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2" fillId="0" borderId="0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3" fillId="0" borderId="0" xfId="0" applyFont="true" applyBorder="true" applyAlignment="false" applyProtection="false">
      <alignment horizontal="general" vertical="bottom" textRotation="0" wrapText="false" indent="0" shrinkToFit="false"/>
      <protection locked="true" hidden="false"/>
    </xf>
    <xf numFmtId="164" fontId="14" fillId="6" borderId="0" xfId="0" applyFont="true" applyBorder="false" applyAlignment="true" applyProtection="false">
      <alignment horizontal="center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70" fontId="12" fillId="0" borderId="1" xfId="0" applyFont="true" applyBorder="true" applyAlignment="true" applyProtection="false">
      <alignment horizontal="center" vertical="center" textRotation="0" wrapText="true" indent="0" shrinkToFit="false"/>
      <protection locked="true" hidden="false"/>
    </xf>
    <xf numFmtId="164" fontId="18" fillId="0" borderId="0" xfId="0" applyFont="true" applyBorder="false" applyAlignment="false" applyProtection="false">
      <alignment horizontal="general" vertical="bottom" textRotation="0" wrapText="false" indent="0" shrinkToFit="false"/>
      <protection locked="true" hidden="false"/>
    </xf>
    <xf numFmtId="164" fontId="4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4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4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  <xf numFmtId="164" fontId="12" fillId="0" borderId="1" xfId="0" applyFont="true" applyBorder="true" applyAlignment="true" applyProtection="false">
      <alignment horizontal="general" vertical="center" textRotation="0" wrapText="true" indent="0" shrinkToFit="false"/>
      <protection locked="true" hidden="false"/>
    </xf>
  </cellXfs>
  <cellStyles count="6">
    <cellStyle name="Normal" xfId="0" builtinId="0"/>
    <cellStyle name="Comma" xfId="15" builtinId="3"/>
    <cellStyle name="Comma [0]" xfId="16" builtinId="6"/>
    <cellStyle name="Currency" xfId="17" builtinId="4"/>
    <cellStyle name="Currency [0]" xfId="18" builtinId="7"/>
    <cellStyle name="Percent" xfId="19" builtinId="5"/>
  </cellStyles>
  <dxfs count="9">
    <dxf>
      <fill>
        <patternFill patternType="solid">
          <fgColor rgb="FF111827"/>
        </patternFill>
      </fill>
    </dxf>
    <dxf>
      <fill>
        <patternFill patternType="solid">
          <fgColor rgb="FFFEF3C7"/>
        </patternFill>
      </fill>
    </dxf>
    <dxf>
      <fill>
        <patternFill patternType="solid">
          <fgColor rgb="FF1D4ED8"/>
        </patternFill>
      </fill>
    </dxf>
    <dxf>
      <fill>
        <patternFill patternType="solid">
          <fgColor rgb="FFF9FAFB"/>
        </patternFill>
      </fill>
    </dxf>
    <dxf>
      <fill>
        <patternFill patternType="solid">
          <fgColor rgb="FFD1FAE5"/>
        </patternFill>
      </fill>
    </dxf>
    <dxf>
      <fill>
        <patternFill patternType="solid">
          <fgColor rgb="FF065F46"/>
        </patternFill>
      </fill>
    </dxf>
    <dxf>
      <fill>
        <patternFill patternType="solid">
          <fgColor rgb="FFFFFFFF"/>
        </patternFill>
      </fill>
    </dxf>
    <dxf>
      <font>
        <name val="Arial"/>
        <charset val="1"/>
        <family val="0"/>
        <b val="1"/>
        <color rgb="FF065F46"/>
      </font>
      <fill>
        <patternFill>
          <bgColor rgb="FFD1FAE5"/>
        </patternFill>
      </fill>
    </dxf>
    <dxf>
      <font>
        <name val="Arial"/>
        <charset val="1"/>
        <family val="0"/>
        <b val="1"/>
        <color rgb="FF991B1B"/>
      </font>
      <fill>
        <patternFill>
          <bgColor rgb="FFFEE2E2"/>
        </patternFill>
      </fill>
    </dxf>
  </dxfs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800000"/>
      <rgbColor rgb="FF008000"/>
      <rgbColor rgb="FF000080"/>
      <rgbColor rgb="FF808000"/>
      <rgbColor rgb="FF800080"/>
      <rgbColor rgb="FF0F766E"/>
      <rgbColor rgb="FFF9FAFB"/>
      <rgbColor rgb="FF878787"/>
      <rgbColor rgb="FF9999FF"/>
      <rgbColor rgb="FF993366"/>
      <rgbColor rgb="FFFEF3C7"/>
      <rgbColor rgb="FFF3F4F6"/>
      <rgbColor rgb="FF660066"/>
      <rgbColor rgb="FFFF8080"/>
      <rgbColor rgb="FF1D4ED8"/>
      <rgbColor rgb="FFD9D9D9"/>
      <rgbColor rgb="FF000080"/>
      <rgbColor rgb="FFFF00FF"/>
      <rgbColor rgb="FFFFFF00"/>
      <rgbColor rgb="FF00FFFF"/>
      <rgbColor rgb="FF800080"/>
      <rgbColor rgb="FF800000"/>
      <rgbColor rgb="FF065F46"/>
      <rgbColor rgb="FF0000FF"/>
      <rgbColor rgb="FF00CCFF"/>
      <rgbColor rgb="FFE5E7EB"/>
      <rgbColor rgb="FFD1FAE5"/>
      <rgbColor rgb="FFF9F9F9"/>
      <rgbColor rgb="FF99CCFF"/>
      <rgbColor rgb="FFFF99CC"/>
      <rgbColor rgb="FFCC99FF"/>
      <rgbColor rgb="FFFEE2E2"/>
      <rgbColor rgb="FF4F81BD"/>
      <rgbColor rgb="FF33CCCC"/>
      <rgbColor rgb="FF99CC00"/>
      <rgbColor rgb="FFFFCC00"/>
      <rgbColor rgb="FFFF9900"/>
      <rgbColor rgb="FFFF6600"/>
      <rgbColor rgb="FF6B7280"/>
      <rgbColor rgb="FF969696"/>
      <rgbColor rgb="FF003366"/>
      <rgbColor rgb="FF339966"/>
      <rgbColor rgb="FF111827"/>
      <rgbColor rgb="FF333300"/>
      <rgbColor rgb="FF991B1B"/>
      <rgbColor rgb="FF993366"/>
      <rgbColor rgb="FF333399"/>
      <rgbColor rgb="FF374151"/>
    </indexedColors>
  </colors>
</styleSheet>
</file>

<file path=xl/_rels/workbook.xml.rels><?xml version="1.0" encoding="UTF-8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worksheet" Target="worksheets/sheet1.xml"/><Relationship Id="rId3" Type="http://schemas.openxmlformats.org/officeDocument/2006/relationships/worksheet" Target="worksheets/sheet2.xml"/><Relationship Id="rId4" Type="http://schemas.openxmlformats.org/officeDocument/2006/relationships/worksheet" Target="worksheets/sheet3.xml"/><Relationship Id="rId5" Type="http://schemas.openxmlformats.org/officeDocument/2006/relationships/sharedStrings" Target="sharedStrings.xml"/>
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roundedCorners val="0"/>
  <c:chart>
    <c:title>
      <c:tx>
        <c:rich>
          <a:bodyPr rot="0"/>
          <a:lstStyle/>
          <a:p>
            <a:pPr>
              <a:defRPr b="1" sz="1800" spc="-1" strike="noStrike">
                <a:solidFill>
                  <a:srgbClr val="000000"/>
                </a:solidFill>
                <a:latin typeface="Calibri"/>
              </a:defRPr>
            </a:pPr>
            <a:r>
              <a:rPr b="1" sz="1800" spc="-1" strike="noStrike">
                <a:solidFill>
                  <a:srgbClr val="000000"/>
                </a:solidFill>
                <a:latin typeface="Calibri"/>
              </a:rPr>
              <a:t>Net units by sport</a:t>
            </a:r>
          </a:p>
        </c:rich>
      </c:tx>
      <c:overlay val="0"/>
      <c:spPr>
        <a:noFill/>
        <a:ln w="0">
          <a:noFill/>
        </a:ln>
      </c:spPr>
    </c:title>
    <c:autoTitleDeleted val="0"/>
    <c:plotArea>
      <c:barChart>
        <c:barDir val="col"/>
        <c:grouping val="clustered"/>
        <c:varyColors val="0"/>
        <c:ser>
          <c:idx val="0"/>
          <c:order val="0"/>
          <c:tx>
            <c:strRef>
              <c:f>Dashboard!C20</c:f>
              <c:strCache>
                <c:ptCount val="1"/>
                <c:pt idx="0">
                  <c:v>Net u</c:v>
                </c:pt>
              </c:strCache>
            </c:strRef>
          </c:tx>
          <c:spPr>
            <a:solidFill>
              <a:srgbClr val="4f81bd"/>
            </a:solidFill>
            <a:ln w="9360">
              <a:solidFill>
                <a:srgbClr val="f9f9f9"/>
              </a:solidFill>
              <a:round/>
            </a:ln>
          </c:spPr>
          <c:invertIfNegative val="0"/>
          <c:dLbls>
            <c:txPr>
              <a:bodyPr wrap="none"/>
              <a:lstStyle/>
              <a:p>
                <a:pPr>
                  <a:defRPr b="0" sz="1000" spc="-1" strike="noStrike">
                    <a:latin typeface="Arial"/>
                  </a:defRPr>
                </a:pPr>
              </a:p>
            </c:txPr>
            <c:showLegendKey val="0"/>
            <c:showVal val="0"/>
            <c:showCatName val="0"/>
            <c:showSerName val="0"/>
            <c:showPercent val="0"/>
            <c:separator> </c:separator>
            <c:showLeaderLines val="1"/>
            <c:extLst>
              <c:ext xmlns:c15="http://schemas.microsoft.com/office/drawing/2012/chart" uri="{CE6537A1-D6FC-4f65-9D91-7224C49458BB}">
                <c15:showLeaderLines val="1"/>
              </c:ext>
            </c:extLst>
          </c:dLbls>
          <c:cat>
            <c:strRef>
              <c:f>Dashboard!$A$21:$A$23</c:f>
              <c:strCache>
                <c:ptCount val="3"/>
                <c:pt idx="0">
                  <c:v>NFL</c:v>
                </c:pt>
                <c:pt idx="1">
                  <c:v>NCAAF</c:v>
                </c:pt>
                <c:pt idx="2">
                  <c:v>UFC</c:v>
                </c:pt>
              </c:strCache>
            </c:strRef>
          </c:cat>
          <c:val>
            <c:numRef>
              <c:f>Dashboard!$C$21:$C$23</c:f>
              <c:numCache>
                <c:formatCode>General</c:formatCode>
                <c:ptCount val="3"/>
                <c:pt idx="0">
                  <c:v>1</c:v>
                </c:pt>
                <c:pt idx="1">
                  <c:v>0</c:v>
                </c:pt>
                <c:pt idx="2">
                  <c:v>0</c:v>
                </c:pt>
              </c:numCache>
            </c:numRef>
          </c:val>
        </c:ser>
        <c:gapWidth val="150"/>
        <c:overlap val="0"/>
        <c:axId val="86816787"/>
        <c:axId val="72998700"/>
      </c:barChart>
      <c:catAx>
        <c:axId val="86816787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72998700"/>
        <c:crosses val="autoZero"/>
        <c:auto val="1"/>
        <c:lblAlgn val="ctr"/>
        <c:lblOffset val="100"/>
        <c:noMultiLvlLbl val="0"/>
      </c:catAx>
      <c:valAx>
        <c:axId val="72998700"/>
        <c:scaling>
          <c:orientation val="minMax"/>
        </c:scaling>
        <c:delete val="0"/>
        <c:axPos val="l"/>
        <c:title>
          <c:tx>
            <c:rich>
              <a:bodyPr rot="-5400000"/>
              <a:lstStyle/>
              <a:p>
                <a:pPr>
                  <a:defRPr b="1" sz="1000" spc="-1" strike="noStrike">
                    <a:solidFill>
                      <a:srgbClr val="000000"/>
                    </a:solidFill>
                    <a:latin typeface="Calibri"/>
                  </a:defRPr>
                </a:pPr>
                <a:r>
                  <a:rPr b="1" sz="1000" spc="-1" strike="noStrike">
                    <a:solidFill>
                      <a:srgbClr val="000000"/>
                    </a:solidFill>
                    <a:latin typeface="Calibri"/>
                  </a:rPr>
                  <a:t>Units</a:t>
                </a:r>
              </a:p>
            </c:rich>
          </c:tx>
          <c:overlay val="0"/>
          <c:spPr>
            <a:noFill/>
            <a:ln w="0">
              <a:noFill/>
            </a:ln>
          </c:spPr>
        </c:title>
        <c:numFmt formatCode="0.00" sourceLinked="1"/>
        <c:majorTickMark val="none"/>
        <c:minorTickMark val="none"/>
        <c:tickLblPos val="nextTo"/>
        <c:spPr>
          <a:ln w="9360">
            <a:solidFill>
              <a:srgbClr val="878787"/>
            </a:solidFill>
            <a:round/>
          </a:ln>
        </c:spPr>
        <c:txPr>
          <a:bodyPr/>
          <a:lstStyle/>
          <a:p>
            <a:pPr>
              <a:defRPr b="0" sz="1000" spc="-1" strike="noStrike">
                <a:solidFill>
                  <a:srgbClr val="000000"/>
                </a:solidFill>
                <a:latin typeface="Calibri"/>
              </a:defRPr>
            </a:pPr>
          </a:p>
        </c:txPr>
        <c:crossAx val="86816787"/>
        <c:crosses val="autoZero"/>
        <c:crossBetween val="between"/>
      </c:valAx>
      <c:spPr>
        <a:noFill/>
        <a:ln w="0">
          <a:noFill/>
        </a:ln>
      </c:spPr>
    </c:plotArea>
    <c:plotVisOnly val="1"/>
    <c:dispBlanksAs val="gap"/>
  </c:chart>
  <c:spPr>
    <a:solidFill>
      <a:srgbClr val="ffffff"/>
    </a:solidFill>
    <a:ln w="9360">
      <a:solidFill>
        <a:srgbClr val="d9d9d9"/>
      </a:solidFill>
      <a:round/>
    </a:ln>
  </c:spPr>
</c:chartSpace>
</file>

<file path=xl/drawings/_rels/drawing2.xml.rels><?xml version="1.0" encoding="UTF-8"?>
<Relationships xmlns="http://schemas.openxmlformats.org/package/2006/relationships"><Relationship Id="rId1" Type="http://schemas.openxmlformats.org/officeDocument/2006/relationships/chart" Target="../charts/chart1.xml"/>
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/>
</file>

<file path=xl/drawings/drawing2.xml><?xml version="1.0" encoding="utf-8"?>
<xdr:wsDr xmlns:xdr="http://schemas.openxmlformats.org/drawingml/2006/spreadsheetDrawing" xmlns:a="http://schemas.openxmlformats.org/drawingml/2006/main" xmlns:r="http://schemas.openxmlformats.org/officeDocument/2006/relationships">
  <xdr:twoCellAnchor editAs="oneCell">
    <xdr:from>
      <xdr:col>4</xdr:col>
      <xdr:colOff>0</xdr:colOff>
      <xdr:row>3</xdr:row>
      <xdr:rowOff>0</xdr:rowOff>
    </xdr:from>
    <xdr:to>
      <xdr:col>11</xdr:col>
      <xdr:colOff>39240</xdr:colOff>
      <xdr:row>10</xdr:row>
      <xdr:rowOff>226080</xdr:rowOff>
    </xdr:to>
    <xdr:graphicFrame>
      <xdr:nvGraphicFramePr>
        <xdr:cNvPr id="0" name="Chart 1"/>
        <xdr:cNvGraphicFramePr/>
      </xdr:nvGraphicFramePr>
      <xdr:xfrm>
        <a:off x="5263560" y="571680"/>
        <a:ext cx="4319640" cy="215964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worksheets/_rels/sheet1.xml.rels><?xml version="1.0" encoding="UTF-8"?>
<Relationships xmlns="http://schemas.openxmlformats.org/package/2006/relationships"><Relationship Id="rId1" Type="http://schemas.openxmlformats.org/officeDocument/2006/relationships/drawing" Target="../drawings/drawing1.xml"/>
</Relationships>
</file>

<file path=xl/worksheets/_rels/sheet2.xml.rels><?xml version="1.0" encoding="UTF-8"?>
<Relationships xmlns="http://schemas.openxmlformats.org/package/2006/relationships"><Relationship Id="rId1" Type="http://schemas.openxmlformats.org/officeDocument/2006/relationships/drawing" Target="../drawings/drawing2.xml"/>
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S32"/>
  <sheetViews>
    <sheetView showFormulas="false" showGridLines="false" showRowColHeaders="true" showZeros="true" rightToLeft="false" tabSelected="true" showOutlineSymbols="true" defaultGridColor="true" view="normal" topLeftCell="A1" colorId="64" zoomScale="100" zoomScaleNormal="100" zoomScalePageLayoutView="100" workbookViewId="0">
      <pane xSplit="0" ySplit="2" topLeftCell="A3" activePane="bottomLeft" state="frozen"/>
      <selection pane="topLeft" activeCell="A1" activeCellId="0" sqref="A1"/>
      <selection pane="bottom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6"/>
    <col collapsed="false" customWidth="true" hidden="false" outlineLevel="0" max="2" min="2" style="0" width="18"/>
    <col collapsed="false" customWidth="true" hidden="false" outlineLevel="0" max="4" min="3" style="0" width="10"/>
    <col collapsed="false" customWidth="true" hidden="false" outlineLevel="0" max="5" min="5" style="0" width="28"/>
    <col collapsed="false" customWidth="true" hidden="false" outlineLevel="0" max="6" min="6" style="0" width="12"/>
    <col collapsed="false" customWidth="true" hidden="false" outlineLevel="0" max="7" min="7" style="0" width="14"/>
    <col collapsed="false" customWidth="true" hidden="false" outlineLevel="0" max="8" min="8" style="0" width="10"/>
    <col collapsed="false" customWidth="true" hidden="false" outlineLevel="0" max="9" min="9" style="0" width="22"/>
    <col collapsed="false" customWidth="true" hidden="false" outlineLevel="0" max="10" min="10" style="0" width="8"/>
    <col collapsed="false" customWidth="true" hidden="false" outlineLevel="0" max="11" min="11" style="0" width="28"/>
    <col collapsed="false" customWidth="true" hidden="false" outlineLevel="0" max="12" min="12" style="0" width="32"/>
    <col collapsed="false" customWidth="true" hidden="false" outlineLevel="0" max="13" min="13" style="0" width="36"/>
    <col collapsed="false" customWidth="true" hidden="false" outlineLevel="0" max="14" min="14" style="0" width="28"/>
    <col collapsed="false" customWidth="true" hidden="false" outlineLevel="0" max="15" min="15" style="0" width="10"/>
    <col collapsed="false" customWidth="true" hidden="false" outlineLevel="0" max="16" min="16" style="0" width="12"/>
    <col collapsed="false" customWidth="true" hidden="false" outlineLevel="0" max="18" min="17" style="0" width="10"/>
    <col collapsed="false" customWidth="true" hidden="false" outlineLevel="0" max="19" min="19" style="0" width="42"/>
  </cols>
  <sheetData>
    <row r="1" customFormat="false" ht="21.75" hidden="false" customHeight="true" outlineLevel="0" collapsed="false">
      <c r="A1" s="1" t="s">
        <v>0</v>
      </c>
      <c r="B1" s="1"/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</row>
    <row r="2" customFormat="false" ht="21.75" hidden="false" customHeight="true" outlineLevel="0" collapsed="false">
      <c r="A2" s="2" t="s">
        <v>1</v>
      </c>
      <c r="B2" s="2" t="s">
        <v>2</v>
      </c>
      <c r="C2" s="2" t="s">
        <v>3</v>
      </c>
      <c r="D2" s="2" t="s">
        <v>4</v>
      </c>
      <c r="E2" s="2" t="s">
        <v>5</v>
      </c>
      <c r="F2" s="2" t="s">
        <v>6</v>
      </c>
      <c r="G2" s="2" t="s">
        <v>7</v>
      </c>
      <c r="H2" s="2" t="s">
        <v>8</v>
      </c>
      <c r="I2" s="2" t="s">
        <v>9</v>
      </c>
      <c r="J2" s="2" t="s">
        <v>10</v>
      </c>
      <c r="K2" s="2" t="s">
        <v>11</v>
      </c>
      <c r="L2" s="2" t="s">
        <v>12</v>
      </c>
      <c r="M2" s="2" t="s">
        <v>13</v>
      </c>
      <c r="N2" s="2" t="s">
        <v>14</v>
      </c>
      <c r="O2" s="2" t="s">
        <v>15</v>
      </c>
      <c r="P2" s="2" t="s">
        <v>16</v>
      </c>
      <c r="Q2" s="2" t="s">
        <v>17</v>
      </c>
      <c r="R2" s="2" t="s">
        <v>18</v>
      </c>
      <c r="S2" s="2" t="s">
        <v>19</v>
      </c>
    </row>
    <row r="3" customFormat="false" ht="36" hidden="false" customHeight="true" outlineLevel="0" collapsed="false">
      <c r="A3" s="3" t="s">
        <v>20</v>
      </c>
      <c r="B3" s="3" t="s">
        <v>21</v>
      </c>
      <c r="C3" s="3" t="s">
        <v>22</v>
      </c>
      <c r="D3" s="3" t="s">
        <v>23</v>
      </c>
      <c r="E3" s="3" t="s">
        <v>24</v>
      </c>
      <c r="F3" s="3" t="s">
        <v>25</v>
      </c>
      <c r="G3" s="3" t="s">
        <v>6</v>
      </c>
      <c r="H3" s="4" t="n">
        <v>2.5</v>
      </c>
      <c r="I3" s="3" t="s">
        <v>26</v>
      </c>
      <c r="J3" s="4" t="n">
        <v>1</v>
      </c>
      <c r="K3" s="3" t="s">
        <v>27</v>
      </c>
      <c r="L3" s="3" t="s">
        <v>28</v>
      </c>
      <c r="M3" s="3" t="s">
        <v>29</v>
      </c>
      <c r="N3" s="3" t="s">
        <v>30</v>
      </c>
      <c r="O3" s="3" t="s">
        <v>31</v>
      </c>
      <c r="P3" s="4" t="n">
        <v>2.5</v>
      </c>
      <c r="Q3" s="5" t="n">
        <f aca="false">IF(OR(P3="",H3=""),"",P3-H3)</f>
        <v>0</v>
      </c>
      <c r="R3" s="6" t="n">
        <f aca="false">IF(O3="","",IF(O3="W",J3,IF(O3="L",-J3,IF(O3="P",0,""))))</f>
        <v>1</v>
      </c>
      <c r="S3" s="3" t="s">
        <v>32</v>
      </c>
    </row>
    <row r="4" customFormat="false" ht="36" hidden="false" customHeight="true" outlineLevel="0" collapsed="false">
      <c r="A4" s="3" t="s">
        <v>33</v>
      </c>
      <c r="B4" s="3" t="s">
        <v>34</v>
      </c>
      <c r="C4" s="3" t="s">
        <v>22</v>
      </c>
      <c r="D4" s="3" t="s">
        <v>23</v>
      </c>
      <c r="E4" s="3" t="s">
        <v>35</v>
      </c>
      <c r="F4" s="3" t="s">
        <v>25</v>
      </c>
      <c r="G4" s="3" t="s">
        <v>6</v>
      </c>
      <c r="H4" s="4" t="n">
        <v>2.5</v>
      </c>
      <c r="I4" s="3" t="s">
        <v>36</v>
      </c>
      <c r="J4" s="4" t="n">
        <v>1</v>
      </c>
      <c r="K4" s="3" t="s">
        <v>37</v>
      </c>
      <c r="L4" s="3" t="s">
        <v>38</v>
      </c>
      <c r="M4" s="3" t="s">
        <v>39</v>
      </c>
      <c r="N4" s="3" t="s">
        <v>40</v>
      </c>
      <c r="O4" s="3"/>
      <c r="P4" s="4"/>
      <c r="Q4" s="5" t="str">
        <f aca="false">IF(OR(P4="",H4=""),"",P4-H4)</f>
        <v/>
      </c>
      <c r="R4" s="6" t="str">
        <f aca="false">IF(O4="","",IF(O4="W",J4,IF(O4="L",-J4,IF(O4="P",0,""))))</f>
        <v/>
      </c>
      <c r="S4" s="3" t="s">
        <v>41</v>
      </c>
    </row>
    <row r="5" customFormat="false" ht="36" hidden="false" customHeight="true" outlineLevel="0" collapsed="false">
      <c r="A5" s="3" t="s">
        <v>42</v>
      </c>
      <c r="B5" s="3" t="s">
        <v>43</v>
      </c>
      <c r="C5" s="3" t="s">
        <v>44</v>
      </c>
      <c r="D5" s="3" t="s">
        <v>45</v>
      </c>
      <c r="E5" s="3" t="s">
        <v>46</v>
      </c>
      <c r="F5" s="3" t="s">
        <v>25</v>
      </c>
      <c r="G5" s="3" t="s">
        <v>47</v>
      </c>
      <c r="H5" s="4" t="n">
        <v>8.5</v>
      </c>
      <c r="I5" s="3" t="s">
        <v>48</v>
      </c>
      <c r="J5" s="4" t="n">
        <v>0.5</v>
      </c>
      <c r="K5" s="3" t="s">
        <v>49</v>
      </c>
      <c r="L5" s="3" t="s">
        <v>50</v>
      </c>
      <c r="M5" s="3" t="s">
        <v>51</v>
      </c>
      <c r="N5" s="3" t="s">
        <v>52</v>
      </c>
      <c r="O5" s="3"/>
      <c r="P5" s="4"/>
      <c r="Q5" s="5" t="str">
        <f aca="false">IF(OR(P5="",H5=""),"",P5-H5)</f>
        <v/>
      </c>
      <c r="R5" s="6" t="str">
        <f aca="false">IF(O5="","",IF(O5="W",J5,IF(O5="L",-J5,IF(O5="P",0,""))))</f>
        <v/>
      </c>
      <c r="S5" s="3" t="s">
        <v>53</v>
      </c>
    </row>
    <row r="6" customFormat="false" ht="36" hidden="false" customHeight="true" outlineLevel="0" collapsed="false">
      <c r="A6" s="3" t="s">
        <v>54</v>
      </c>
      <c r="B6" s="3" t="s">
        <v>55</v>
      </c>
      <c r="C6" s="3" t="s">
        <v>22</v>
      </c>
      <c r="D6" s="3" t="s">
        <v>45</v>
      </c>
      <c r="E6" s="3" t="s">
        <v>56</v>
      </c>
      <c r="F6" s="3" t="s">
        <v>25</v>
      </c>
      <c r="G6" s="3" t="s">
        <v>47</v>
      </c>
      <c r="H6" s="4" t="n">
        <v>-7</v>
      </c>
      <c r="I6" s="3" t="s">
        <v>57</v>
      </c>
      <c r="J6" s="4" t="n">
        <v>1</v>
      </c>
      <c r="K6" s="3" t="s">
        <v>58</v>
      </c>
      <c r="L6" s="3" t="s">
        <v>59</v>
      </c>
      <c r="M6" s="3" t="s">
        <v>60</v>
      </c>
      <c r="N6" s="3" t="s">
        <v>61</v>
      </c>
      <c r="O6" s="3"/>
      <c r="P6" s="4"/>
      <c r="Q6" s="5" t="str">
        <f aca="false">IF(OR(P6="",H6=""),"",P6-H6)</f>
        <v/>
      </c>
      <c r="R6" s="6" t="str">
        <f aca="false">IF(O6="","",IF(O6="W",J6,IF(O6="L",-J6,IF(O6="P",0,""))))</f>
        <v/>
      </c>
      <c r="S6" s="3" t="s">
        <v>62</v>
      </c>
    </row>
    <row r="7" customFormat="false" ht="36" hidden="false" customHeight="true" outlineLevel="0" collapsed="false">
      <c r="A7" s="3" t="s">
        <v>63</v>
      </c>
      <c r="B7" s="3" t="s">
        <v>64</v>
      </c>
      <c r="C7" s="3" t="s">
        <v>22</v>
      </c>
      <c r="D7" s="3" t="s">
        <v>45</v>
      </c>
      <c r="E7" s="3" t="s">
        <v>65</v>
      </c>
      <c r="F7" s="3" t="s">
        <v>25</v>
      </c>
      <c r="G7" s="3" t="s">
        <v>47</v>
      </c>
      <c r="H7" s="4" t="n">
        <v>2.5</v>
      </c>
      <c r="I7" s="3" t="s">
        <v>66</v>
      </c>
      <c r="J7" s="4" t="n">
        <v>1</v>
      </c>
      <c r="K7" s="3" t="s">
        <v>67</v>
      </c>
      <c r="L7" s="3" t="s">
        <v>68</v>
      </c>
      <c r="M7" s="3" t="s">
        <v>69</v>
      </c>
      <c r="N7" s="3" t="s">
        <v>70</v>
      </c>
      <c r="O7" s="3"/>
      <c r="P7" s="4"/>
      <c r="Q7" s="5" t="str">
        <f aca="false">IF(OR(P7="",H7=""),"",P7-H7)</f>
        <v/>
      </c>
      <c r="R7" s="6" t="str">
        <f aca="false">IF(O7="","",IF(O7="W",J7,IF(O7="L",-J7,IF(O7="P",0,""))))</f>
        <v/>
      </c>
      <c r="S7" s="3" t="s">
        <v>71</v>
      </c>
    </row>
    <row r="8" customFormat="false" ht="36" hidden="false" customHeight="true" outlineLevel="0" collapsed="false">
      <c r="A8" s="3" t="s">
        <v>72</v>
      </c>
      <c r="B8" s="3" t="s">
        <v>73</v>
      </c>
      <c r="C8" s="3" t="s">
        <v>22</v>
      </c>
      <c r="D8" s="3" t="s">
        <v>45</v>
      </c>
      <c r="E8" s="3" t="s">
        <v>74</v>
      </c>
      <c r="F8" s="3" t="s">
        <v>25</v>
      </c>
      <c r="G8" s="3" t="s">
        <v>6</v>
      </c>
      <c r="H8" s="4" t="n">
        <v>14.5</v>
      </c>
      <c r="I8" s="3" t="s">
        <v>75</v>
      </c>
      <c r="J8" s="4" t="n">
        <v>0.5</v>
      </c>
      <c r="K8" s="3" t="s">
        <v>76</v>
      </c>
      <c r="L8" s="3" t="s">
        <v>77</v>
      </c>
      <c r="M8" s="3" t="s">
        <v>78</v>
      </c>
      <c r="N8" s="3" t="s">
        <v>79</v>
      </c>
      <c r="O8" s="3"/>
      <c r="P8" s="4"/>
      <c r="Q8" s="5" t="str">
        <f aca="false">IF(OR(P8="",H8=""),"",P8-H8)</f>
        <v/>
      </c>
      <c r="R8" s="6" t="str">
        <f aca="false">IF(O8="","",IF(O8="W",J8,IF(O8="L",-J8,IF(O8="P",0,""))))</f>
        <v/>
      </c>
      <c r="S8" s="3" t="s">
        <v>80</v>
      </c>
    </row>
    <row r="9" customFormat="false" ht="21.75" hidden="false" customHeight="true" outlineLevel="0" collapsed="false">
      <c r="A9" s="3" t="s">
        <v>81</v>
      </c>
      <c r="B9" s="3"/>
      <c r="C9" s="3"/>
      <c r="D9" s="3"/>
      <c r="E9" s="3"/>
      <c r="F9" s="3"/>
      <c r="G9" s="3"/>
      <c r="H9" s="4"/>
      <c r="I9" s="3"/>
      <c r="J9" s="4"/>
      <c r="K9" s="3"/>
      <c r="L9" s="3"/>
      <c r="M9" s="3"/>
      <c r="N9" s="3"/>
      <c r="O9" s="3"/>
      <c r="P9" s="4"/>
      <c r="Q9" s="5" t="str">
        <f aca="false">IF(OR(P9="",H9=""),"",P9-H9)</f>
        <v/>
      </c>
      <c r="R9" s="6" t="str">
        <f aca="false">IF(O9="","",IF(O9="W",J9,IF(O9="L",-J9,IF(O9="P",0,""))))</f>
        <v/>
      </c>
      <c r="S9" s="3"/>
    </row>
    <row r="10" customFormat="false" ht="21.75" hidden="false" customHeight="true" outlineLevel="0" collapsed="false">
      <c r="A10" s="3" t="s">
        <v>82</v>
      </c>
      <c r="B10" s="3"/>
      <c r="C10" s="3"/>
      <c r="D10" s="3"/>
      <c r="E10" s="3"/>
      <c r="F10" s="3"/>
      <c r="G10" s="3"/>
      <c r="H10" s="4"/>
      <c r="I10" s="3"/>
      <c r="J10" s="4"/>
      <c r="K10" s="3"/>
      <c r="L10" s="3"/>
      <c r="M10" s="3"/>
      <c r="N10" s="3"/>
      <c r="O10" s="3"/>
      <c r="P10" s="4"/>
      <c r="Q10" s="5" t="str">
        <f aca="false">IF(OR(P10="",H10=""),"",P10-H10)</f>
        <v/>
      </c>
      <c r="R10" s="6" t="str">
        <f aca="false">IF(O10="","",IF(O10="W",J10,IF(O10="L",-J10,IF(O10="P",0,""))))</f>
        <v/>
      </c>
      <c r="S10" s="3"/>
    </row>
    <row r="11" customFormat="false" ht="21.75" hidden="false" customHeight="true" outlineLevel="0" collapsed="false">
      <c r="A11" s="3" t="s">
        <v>83</v>
      </c>
      <c r="B11" s="3"/>
      <c r="C11" s="3"/>
      <c r="D11" s="3"/>
      <c r="E11" s="3"/>
      <c r="F11" s="3"/>
      <c r="G11" s="3"/>
      <c r="H11" s="4"/>
      <c r="I11" s="3"/>
      <c r="J11" s="4"/>
      <c r="K11" s="3"/>
      <c r="L11" s="3"/>
      <c r="M11" s="3"/>
      <c r="N11" s="3"/>
      <c r="O11" s="3"/>
      <c r="P11" s="4"/>
      <c r="Q11" s="5" t="str">
        <f aca="false">IF(OR(P11="",H11=""),"",P11-H11)</f>
        <v/>
      </c>
      <c r="R11" s="6" t="str">
        <f aca="false">IF(O11="","",IF(O11="W",J11,IF(O11="L",-J11,IF(O11="P",0,""))))</f>
        <v/>
      </c>
      <c r="S11" s="3"/>
    </row>
    <row r="12" customFormat="false" ht="21.75" hidden="false" customHeight="true" outlineLevel="0" collapsed="false">
      <c r="A12" s="3" t="s">
        <v>84</v>
      </c>
      <c r="B12" s="3"/>
      <c r="C12" s="3"/>
      <c r="D12" s="3"/>
      <c r="E12" s="3"/>
      <c r="F12" s="3"/>
      <c r="G12" s="3"/>
      <c r="H12" s="4"/>
      <c r="I12" s="3"/>
      <c r="J12" s="4"/>
      <c r="K12" s="3"/>
      <c r="L12" s="3"/>
      <c r="M12" s="3"/>
      <c r="N12" s="3"/>
      <c r="O12" s="3"/>
      <c r="P12" s="4"/>
      <c r="Q12" s="5" t="str">
        <f aca="false">IF(OR(P12="",H12=""),"",P12-H12)</f>
        <v/>
      </c>
      <c r="R12" s="6" t="str">
        <f aca="false">IF(O12="","",IF(O12="W",J12,IF(O12="L",-J12,IF(O12="P",0,""))))</f>
        <v/>
      </c>
      <c r="S12" s="3"/>
    </row>
    <row r="13" customFormat="false" ht="21.75" hidden="false" customHeight="true" outlineLevel="0" collapsed="false">
      <c r="A13" s="3" t="s">
        <v>85</v>
      </c>
      <c r="B13" s="3"/>
      <c r="C13" s="3"/>
      <c r="D13" s="3"/>
      <c r="E13" s="3"/>
      <c r="F13" s="3"/>
      <c r="G13" s="3"/>
      <c r="H13" s="4"/>
      <c r="I13" s="3"/>
      <c r="J13" s="4"/>
      <c r="K13" s="3"/>
      <c r="L13" s="3"/>
      <c r="M13" s="3"/>
      <c r="N13" s="3"/>
      <c r="O13" s="3"/>
      <c r="P13" s="4"/>
      <c r="Q13" s="5" t="str">
        <f aca="false">IF(OR(P13="",H13=""),"",P13-H13)</f>
        <v/>
      </c>
      <c r="R13" s="6" t="str">
        <f aca="false">IF(O13="","",IF(O13="W",J13,IF(O13="L",-J13,IF(O13="P",0,""))))</f>
        <v/>
      </c>
      <c r="S13" s="3"/>
    </row>
    <row r="14" customFormat="false" ht="21.75" hidden="false" customHeight="true" outlineLevel="0" collapsed="false">
      <c r="A14" s="3" t="s">
        <v>86</v>
      </c>
      <c r="B14" s="3"/>
      <c r="C14" s="3"/>
      <c r="D14" s="3"/>
      <c r="E14" s="3"/>
      <c r="F14" s="3"/>
      <c r="G14" s="3"/>
      <c r="H14" s="4"/>
      <c r="I14" s="3"/>
      <c r="J14" s="4"/>
      <c r="K14" s="3"/>
      <c r="L14" s="3"/>
      <c r="M14" s="3"/>
      <c r="N14" s="3"/>
      <c r="O14" s="3"/>
      <c r="P14" s="4"/>
      <c r="Q14" s="5" t="str">
        <f aca="false">IF(OR(P14="",H14=""),"",P14-H14)</f>
        <v/>
      </c>
      <c r="R14" s="6" t="str">
        <f aca="false">IF(O14="","",IF(O14="W",J14,IF(O14="L",-J14,IF(O14="P",0,""))))</f>
        <v/>
      </c>
      <c r="S14" s="3"/>
    </row>
    <row r="15" customFormat="false" ht="21.75" hidden="false" customHeight="true" outlineLevel="0" collapsed="false">
      <c r="A15" s="3" t="s">
        <v>87</v>
      </c>
      <c r="B15" s="3"/>
      <c r="C15" s="3"/>
      <c r="D15" s="3"/>
      <c r="E15" s="3"/>
      <c r="F15" s="3"/>
      <c r="G15" s="3"/>
      <c r="H15" s="4"/>
      <c r="I15" s="3"/>
      <c r="J15" s="4"/>
      <c r="K15" s="3"/>
      <c r="L15" s="3"/>
      <c r="M15" s="3"/>
      <c r="N15" s="3"/>
      <c r="O15" s="3"/>
      <c r="P15" s="4"/>
      <c r="Q15" s="5" t="str">
        <f aca="false">IF(OR(P15="",H15=""),"",P15-H15)</f>
        <v/>
      </c>
      <c r="R15" s="6" t="str">
        <f aca="false">IF(O15="","",IF(O15="W",J15,IF(O15="L",-J15,IF(O15="P",0,""))))</f>
        <v/>
      </c>
      <c r="S15" s="3"/>
    </row>
    <row r="16" customFormat="false" ht="21.75" hidden="false" customHeight="true" outlineLevel="0" collapsed="false">
      <c r="A16" s="3" t="s">
        <v>88</v>
      </c>
      <c r="B16" s="3"/>
      <c r="C16" s="3"/>
      <c r="D16" s="3"/>
      <c r="E16" s="3"/>
      <c r="F16" s="3"/>
      <c r="G16" s="3"/>
      <c r="H16" s="4"/>
      <c r="I16" s="3"/>
      <c r="J16" s="4"/>
      <c r="K16" s="3"/>
      <c r="L16" s="3"/>
      <c r="M16" s="3"/>
      <c r="N16" s="3"/>
      <c r="O16" s="3"/>
      <c r="P16" s="4"/>
      <c r="Q16" s="5" t="str">
        <f aca="false">IF(OR(P16="",H16=""),"",P16-H16)</f>
        <v/>
      </c>
      <c r="R16" s="6" t="str">
        <f aca="false">IF(O16="","",IF(O16="W",J16,IF(O16="L",-J16,IF(O16="P",0,""))))</f>
        <v/>
      </c>
      <c r="S16" s="3"/>
    </row>
    <row r="17" customFormat="false" ht="21.75" hidden="false" customHeight="true" outlineLevel="0" collapsed="false">
      <c r="A17" s="3" t="s">
        <v>89</v>
      </c>
      <c r="B17" s="3"/>
      <c r="C17" s="3"/>
      <c r="D17" s="3"/>
      <c r="E17" s="3"/>
      <c r="F17" s="3"/>
      <c r="G17" s="3"/>
      <c r="H17" s="4"/>
      <c r="I17" s="3"/>
      <c r="J17" s="4"/>
      <c r="K17" s="3"/>
      <c r="L17" s="3"/>
      <c r="M17" s="3"/>
      <c r="N17" s="3"/>
      <c r="O17" s="3"/>
      <c r="P17" s="4"/>
      <c r="Q17" s="5" t="str">
        <f aca="false">IF(OR(P17="",H17=""),"",P17-H17)</f>
        <v/>
      </c>
      <c r="R17" s="6" t="str">
        <f aca="false">IF(O17="","",IF(O17="W",J17,IF(O17="L",-J17,IF(O17="P",0,""))))</f>
        <v/>
      </c>
      <c r="S17" s="3"/>
    </row>
    <row r="18" customFormat="false" ht="21.75" hidden="false" customHeight="true" outlineLevel="0" collapsed="false">
      <c r="A18" s="3" t="s">
        <v>90</v>
      </c>
      <c r="B18" s="3"/>
      <c r="C18" s="3"/>
      <c r="D18" s="3"/>
      <c r="E18" s="3"/>
      <c r="F18" s="3"/>
      <c r="G18" s="3"/>
      <c r="H18" s="4"/>
      <c r="I18" s="3"/>
      <c r="J18" s="4"/>
      <c r="K18" s="3"/>
      <c r="L18" s="3"/>
      <c r="M18" s="3"/>
      <c r="N18" s="3"/>
      <c r="O18" s="3"/>
      <c r="P18" s="4"/>
      <c r="Q18" s="5" t="str">
        <f aca="false">IF(OR(P18="",H18=""),"",P18-H18)</f>
        <v/>
      </c>
      <c r="R18" s="6" t="str">
        <f aca="false">IF(O18="","",IF(O18="W",J18,IF(O18="L",-J18,IF(O18="P",0,""))))</f>
        <v/>
      </c>
      <c r="S18" s="3"/>
    </row>
    <row r="19" customFormat="false" ht="21.75" hidden="false" customHeight="true" outlineLevel="0" collapsed="false">
      <c r="A19" s="3" t="s">
        <v>91</v>
      </c>
      <c r="B19" s="3"/>
      <c r="C19" s="3"/>
      <c r="D19" s="3"/>
      <c r="E19" s="3"/>
      <c r="F19" s="3"/>
      <c r="G19" s="3"/>
      <c r="H19" s="4"/>
      <c r="I19" s="3"/>
      <c r="J19" s="4"/>
      <c r="K19" s="3"/>
      <c r="L19" s="3"/>
      <c r="M19" s="3"/>
      <c r="N19" s="3"/>
      <c r="O19" s="3"/>
      <c r="P19" s="4"/>
      <c r="Q19" s="5" t="str">
        <f aca="false">IF(OR(P19="",H19=""),"",P19-H19)</f>
        <v/>
      </c>
      <c r="R19" s="6" t="str">
        <f aca="false">IF(O19="","",IF(O19="W",J19,IF(O19="L",-J19,IF(O19="P",0,""))))</f>
        <v/>
      </c>
      <c r="S19" s="3"/>
    </row>
    <row r="20" customFormat="false" ht="21.75" hidden="false" customHeight="true" outlineLevel="0" collapsed="false">
      <c r="A20" s="3" t="s">
        <v>92</v>
      </c>
      <c r="B20" s="3"/>
      <c r="C20" s="3"/>
      <c r="D20" s="3"/>
      <c r="E20" s="3"/>
      <c r="F20" s="3"/>
      <c r="G20" s="3"/>
      <c r="H20" s="4"/>
      <c r="I20" s="3"/>
      <c r="J20" s="4"/>
      <c r="K20" s="3"/>
      <c r="L20" s="3"/>
      <c r="M20" s="3"/>
      <c r="N20" s="3"/>
      <c r="O20" s="3"/>
      <c r="P20" s="4"/>
      <c r="Q20" s="5" t="str">
        <f aca="false">IF(OR(P20="",H20=""),"",P20-H20)</f>
        <v/>
      </c>
      <c r="R20" s="6" t="str">
        <f aca="false">IF(O20="","",IF(O20="W",J20,IF(O20="L",-J20,IF(O20="P",0,""))))</f>
        <v/>
      </c>
      <c r="S20" s="3"/>
    </row>
    <row r="21" customFormat="false" ht="21.75" hidden="false" customHeight="true" outlineLevel="0" collapsed="false">
      <c r="A21" s="3" t="s">
        <v>93</v>
      </c>
      <c r="B21" s="3"/>
      <c r="C21" s="3"/>
      <c r="D21" s="3"/>
      <c r="E21" s="3"/>
      <c r="F21" s="3"/>
      <c r="G21" s="3"/>
      <c r="H21" s="4"/>
      <c r="I21" s="3"/>
      <c r="J21" s="4"/>
      <c r="K21" s="3"/>
      <c r="L21" s="3"/>
      <c r="M21" s="3"/>
      <c r="N21" s="3"/>
      <c r="O21" s="3"/>
      <c r="P21" s="4"/>
      <c r="Q21" s="5" t="str">
        <f aca="false">IF(OR(P21="",H21=""),"",P21-H21)</f>
        <v/>
      </c>
      <c r="R21" s="6" t="str">
        <f aca="false">IF(O21="","",IF(O21="W",J21,IF(O21="L",-J21,IF(O21="P",0,""))))</f>
        <v/>
      </c>
      <c r="S21" s="3"/>
    </row>
    <row r="22" customFormat="false" ht="21.75" hidden="false" customHeight="true" outlineLevel="0" collapsed="false">
      <c r="A22" s="3" t="s">
        <v>94</v>
      </c>
      <c r="B22" s="3"/>
      <c r="C22" s="3"/>
      <c r="D22" s="3"/>
      <c r="E22" s="3"/>
      <c r="F22" s="3"/>
      <c r="G22" s="3"/>
      <c r="H22" s="4"/>
      <c r="I22" s="3"/>
      <c r="J22" s="4"/>
      <c r="K22" s="3"/>
      <c r="L22" s="3"/>
      <c r="M22" s="3"/>
      <c r="N22" s="3"/>
      <c r="O22" s="3"/>
      <c r="P22" s="4"/>
      <c r="Q22" s="5" t="str">
        <f aca="false">IF(OR(P22="",H22=""),"",P22-H22)</f>
        <v/>
      </c>
      <c r="R22" s="6" t="str">
        <f aca="false">IF(O22="","",IF(O22="W",J22,IF(O22="L",-J22,IF(O22="P",0,""))))</f>
        <v/>
      </c>
      <c r="S22" s="3"/>
    </row>
    <row r="23" customFormat="false" ht="21.75" hidden="false" customHeight="true" outlineLevel="0" collapsed="false">
      <c r="A23" s="3" t="s">
        <v>95</v>
      </c>
      <c r="B23" s="3"/>
      <c r="C23" s="3"/>
      <c r="D23" s="3"/>
      <c r="E23" s="3"/>
      <c r="F23" s="3"/>
      <c r="G23" s="3"/>
      <c r="H23" s="4"/>
      <c r="I23" s="3"/>
      <c r="J23" s="4"/>
      <c r="K23" s="3"/>
      <c r="L23" s="3"/>
      <c r="M23" s="3"/>
      <c r="N23" s="3"/>
      <c r="O23" s="3"/>
      <c r="P23" s="4"/>
      <c r="Q23" s="5" t="str">
        <f aca="false">IF(OR(P23="",H23=""),"",P23-H23)</f>
        <v/>
      </c>
      <c r="R23" s="6" t="str">
        <f aca="false">IF(O23="","",IF(O23="W",J23,IF(O23="L",-J23,IF(O23="P",0,""))))</f>
        <v/>
      </c>
      <c r="S23" s="3"/>
    </row>
    <row r="24" customFormat="false" ht="21.75" hidden="false" customHeight="true" outlineLevel="0" collapsed="false">
      <c r="A24" s="3" t="s">
        <v>96</v>
      </c>
      <c r="B24" s="3"/>
      <c r="C24" s="3"/>
      <c r="D24" s="3"/>
      <c r="E24" s="3"/>
      <c r="F24" s="3"/>
      <c r="G24" s="3"/>
      <c r="H24" s="4"/>
      <c r="I24" s="3"/>
      <c r="J24" s="4"/>
      <c r="K24" s="3"/>
      <c r="L24" s="3"/>
      <c r="M24" s="3"/>
      <c r="N24" s="3"/>
      <c r="O24" s="3"/>
      <c r="P24" s="4"/>
      <c r="Q24" s="5" t="str">
        <f aca="false">IF(OR(P24="",H24=""),"",P24-H24)</f>
        <v/>
      </c>
      <c r="R24" s="6" t="str">
        <f aca="false">IF(O24="","",IF(O24="W",J24,IF(O24="L",-J24,IF(O24="P",0,""))))</f>
        <v/>
      </c>
      <c r="S24" s="3"/>
    </row>
    <row r="25" customFormat="false" ht="21.75" hidden="false" customHeight="true" outlineLevel="0" collapsed="false">
      <c r="A25" s="3" t="s">
        <v>97</v>
      </c>
      <c r="B25" s="3"/>
      <c r="C25" s="3"/>
      <c r="D25" s="3"/>
      <c r="E25" s="3"/>
      <c r="F25" s="3"/>
      <c r="G25" s="3"/>
      <c r="H25" s="4"/>
      <c r="I25" s="3"/>
      <c r="J25" s="4"/>
      <c r="K25" s="3"/>
      <c r="L25" s="3"/>
      <c r="M25" s="3"/>
      <c r="N25" s="3"/>
      <c r="O25" s="3"/>
      <c r="P25" s="4"/>
      <c r="Q25" s="5" t="str">
        <f aca="false">IF(OR(P25="",H25=""),"",P25-H25)</f>
        <v/>
      </c>
      <c r="R25" s="6" t="str">
        <f aca="false">IF(O25="","",IF(O25="W",J25,IF(O25="L",-J25,IF(O25="P",0,""))))</f>
        <v/>
      </c>
      <c r="S25" s="3"/>
    </row>
    <row r="26" customFormat="false" ht="21.75" hidden="false" customHeight="true" outlineLevel="0" collapsed="false">
      <c r="A26" s="3" t="s">
        <v>98</v>
      </c>
      <c r="B26" s="3"/>
      <c r="C26" s="3"/>
      <c r="D26" s="3"/>
      <c r="E26" s="3"/>
      <c r="F26" s="3"/>
      <c r="G26" s="3"/>
      <c r="H26" s="4"/>
      <c r="I26" s="3"/>
      <c r="J26" s="4"/>
      <c r="K26" s="3"/>
      <c r="L26" s="3"/>
      <c r="M26" s="3"/>
      <c r="N26" s="3"/>
      <c r="O26" s="3"/>
      <c r="P26" s="4"/>
      <c r="Q26" s="5" t="str">
        <f aca="false">IF(OR(P26="",H26=""),"",P26-H26)</f>
        <v/>
      </c>
      <c r="R26" s="6" t="str">
        <f aca="false">IF(O26="","",IF(O26="W",J26,IF(O26="L",-J26,IF(O26="P",0,""))))</f>
        <v/>
      </c>
      <c r="S26" s="3"/>
    </row>
    <row r="27" customFormat="false" ht="21.75" hidden="false" customHeight="true" outlineLevel="0" collapsed="false">
      <c r="A27" s="3" t="s">
        <v>99</v>
      </c>
      <c r="B27" s="3"/>
      <c r="C27" s="3"/>
      <c r="D27" s="3"/>
      <c r="E27" s="3"/>
      <c r="F27" s="3"/>
      <c r="G27" s="3"/>
      <c r="H27" s="4"/>
      <c r="I27" s="3"/>
      <c r="J27" s="4"/>
      <c r="K27" s="3"/>
      <c r="L27" s="3"/>
      <c r="M27" s="3"/>
      <c r="N27" s="3"/>
      <c r="O27" s="3"/>
      <c r="P27" s="4"/>
      <c r="Q27" s="5" t="str">
        <f aca="false">IF(OR(P27="",H27=""),"",P27-H27)</f>
        <v/>
      </c>
      <c r="R27" s="6" t="str">
        <f aca="false">IF(O27="","",IF(O27="W",J27,IF(O27="L",-J27,IF(O27="P",0,""))))</f>
        <v/>
      </c>
      <c r="S27" s="3"/>
    </row>
    <row r="28" customFormat="false" ht="21.75" hidden="false" customHeight="true" outlineLevel="0" collapsed="false">
      <c r="A28" s="3" t="s">
        <v>100</v>
      </c>
      <c r="B28" s="3"/>
      <c r="C28" s="3"/>
      <c r="D28" s="3"/>
      <c r="E28" s="3"/>
      <c r="F28" s="3"/>
      <c r="G28" s="3"/>
      <c r="H28" s="4"/>
      <c r="I28" s="3"/>
      <c r="J28" s="4"/>
      <c r="K28" s="3"/>
      <c r="L28" s="3"/>
      <c r="M28" s="3"/>
      <c r="N28" s="3"/>
      <c r="O28" s="3"/>
      <c r="P28" s="4"/>
      <c r="Q28" s="5" t="str">
        <f aca="false">IF(OR(P28="",H28=""),"",P28-H28)</f>
        <v/>
      </c>
      <c r="R28" s="6" t="str">
        <f aca="false">IF(O28="","",IF(O28="W",J28,IF(O28="L",-J28,IF(O28="P",0,""))))</f>
        <v/>
      </c>
      <c r="S28" s="3"/>
    </row>
    <row r="29" customFormat="false" ht="21.75" hidden="false" customHeight="true" outlineLevel="0" collapsed="false">
      <c r="A29" s="3" t="s">
        <v>101</v>
      </c>
      <c r="B29" s="3"/>
      <c r="C29" s="3"/>
      <c r="D29" s="3"/>
      <c r="E29" s="3"/>
      <c r="F29" s="3"/>
      <c r="G29" s="3"/>
      <c r="H29" s="4"/>
      <c r="I29" s="3"/>
      <c r="J29" s="4"/>
      <c r="K29" s="3"/>
      <c r="L29" s="3"/>
      <c r="M29" s="3"/>
      <c r="N29" s="3"/>
      <c r="O29" s="3"/>
      <c r="P29" s="4"/>
      <c r="Q29" s="5" t="str">
        <f aca="false">IF(OR(P29="",H29=""),"",P29-H29)</f>
        <v/>
      </c>
      <c r="R29" s="6" t="str">
        <f aca="false">IF(O29="","",IF(O29="W",J29,IF(O29="L",-J29,IF(O29="P",0,""))))</f>
        <v/>
      </c>
      <c r="S29" s="3"/>
    </row>
    <row r="30" customFormat="false" ht="21.75" hidden="false" customHeight="true" outlineLevel="0" collapsed="false">
      <c r="A30" s="3" t="s">
        <v>102</v>
      </c>
      <c r="B30" s="3"/>
      <c r="C30" s="3"/>
      <c r="D30" s="3"/>
      <c r="E30" s="3"/>
      <c r="F30" s="3"/>
      <c r="G30" s="3"/>
      <c r="H30" s="4"/>
      <c r="I30" s="3"/>
      <c r="J30" s="4"/>
      <c r="K30" s="3"/>
      <c r="L30" s="3"/>
      <c r="M30" s="3"/>
      <c r="N30" s="3"/>
      <c r="O30" s="3"/>
      <c r="P30" s="4"/>
      <c r="Q30" s="5" t="str">
        <f aca="false">IF(OR(P30="",H30=""),"",P30-H30)</f>
        <v/>
      </c>
      <c r="R30" s="6" t="str">
        <f aca="false">IF(O30="","",IF(O30="W",J30,IF(O30="L",-J30,IF(O30="P",0,""))))</f>
        <v/>
      </c>
      <c r="S30" s="3"/>
    </row>
    <row r="31" customFormat="false" ht="21.75" hidden="false" customHeight="true" outlineLevel="0" collapsed="false">
      <c r="A31" s="3" t="s">
        <v>103</v>
      </c>
      <c r="B31" s="3"/>
      <c r="C31" s="3"/>
      <c r="D31" s="3"/>
      <c r="E31" s="3"/>
      <c r="F31" s="3"/>
      <c r="G31" s="3"/>
      <c r="H31" s="4"/>
      <c r="I31" s="3"/>
      <c r="J31" s="4"/>
      <c r="K31" s="3"/>
      <c r="L31" s="3"/>
      <c r="M31" s="3"/>
      <c r="N31" s="3"/>
      <c r="O31" s="3"/>
      <c r="P31" s="4"/>
      <c r="Q31" s="5" t="str">
        <f aca="false">IF(OR(P31="",H31=""),"",P31-H31)</f>
        <v/>
      </c>
      <c r="R31" s="6" t="str">
        <f aca="false">IF(O31="","",IF(O31="W",J31,IF(O31="L",-J31,IF(O31="P",0,""))))</f>
        <v/>
      </c>
      <c r="S31" s="3"/>
    </row>
    <row r="32" customFormat="false" ht="21.75" hidden="false" customHeight="true" outlineLevel="0" collapsed="false">
      <c r="A32" s="3" t="s">
        <v>104</v>
      </c>
      <c r="B32" s="3"/>
      <c r="C32" s="3"/>
      <c r="D32" s="3"/>
      <c r="E32" s="3"/>
      <c r="F32" s="3"/>
      <c r="G32" s="3"/>
      <c r="H32" s="4"/>
      <c r="I32" s="3"/>
      <c r="J32" s="4"/>
      <c r="K32" s="3"/>
      <c r="L32" s="3"/>
      <c r="M32" s="3"/>
      <c r="N32" s="3"/>
      <c r="O32" s="3"/>
      <c r="P32" s="4"/>
      <c r="Q32" s="5" t="str">
        <f aca="false">IF(OR(P32="",H32=""),"",P32-H32)</f>
        <v/>
      </c>
      <c r="R32" s="6" t="str">
        <f aca="false">IF(O32="","",IF(O32="W",J32,IF(O32="L",-J32,IF(O32="P",0,""))))</f>
        <v/>
      </c>
      <c r="S32" s="3"/>
    </row>
  </sheetData>
  <autoFilter ref="A2:Z40"/>
  <mergeCells count="1">
    <mergeCell ref="A1:S1"/>
  </mergeCells>
  <conditionalFormatting sqref="O3:O40">
    <cfRule type="expression" priority="2" aboveAverage="0" equalAverage="0" bottom="0" percent="0" rank="0" text="" dxfId="7">
      <formula>O3="W"</formula>
    </cfRule>
    <cfRule type="expression" priority="3" aboveAverage="0" equalAverage="0" bottom="0" percent="0" rank="0" text="" dxfId="8">
      <formula>O3="L"</formula>
    </cfRule>
  </conditionalFormatting>
  <dataValidations count="3">
    <dataValidation allowBlank="true" error="Pick from the list" errorStyle="stop" errorTitle="Invalid" operator="between" showDropDown="false" showErrorMessage="false" showInputMessage="false" sqref="D3:D40" type="list">
      <formula1>"NFL,NCAAF,UFC,OTHER"</formula1>
      <formula2>0</formula2>
    </dataValidation>
    <dataValidation allowBlank="true" error="Pick from the list" errorStyle="stop" errorTitle="Invalid" operator="between" showDropDown="false" showErrorMessage="false" showInputMessage="false" sqref="F3:F40" type="list">
      <formula1>"Spread,Moneyline,Total,Prop"</formula1>
      <formula2>0</formula2>
    </dataValidation>
    <dataValidation allowBlank="true" error="Pick from the list" errorStyle="stop" errorTitle="Invalid" operator="between" showDropDown="false" showErrorMessage="false" showInputMessage="false" sqref="C3:C40 O3:O40" type="list">
      <formula1>"W,L,P"</formula1>
      <formula2>0</formula2>
    </dataValidation>
  </dataValidation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&amp;LGate / Chain ledger</oddHeader>
    <oddFooter>&amp;RPage &amp;P</oddFooter>
  </headerFooter>
  <drawing r:id="rId1"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0F766E"/>
    <pageSetUpPr fitToPage="true"/>
  </sheetPr>
  <dimension ref="A1:C23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8"/>
    <col collapsed="false" customWidth="true" hidden="false" outlineLevel="0" max="2" min="2" style="0" width="22"/>
    <col collapsed="false" customWidth="true" hidden="false" outlineLevel="0" max="3" min="3" style="0" width="16"/>
  </cols>
  <sheetData>
    <row r="1" customFormat="false" ht="15" hidden="false" customHeight="false" outlineLevel="0" collapsed="false">
      <c r="A1" s="7" t="s">
        <v>105</v>
      </c>
    </row>
    <row r="2" customFormat="false" ht="15" hidden="false" customHeight="false" outlineLevel="0" collapsed="false">
      <c r="A2" s="8" t="s">
        <v>106</v>
      </c>
    </row>
    <row r="4" customFormat="false" ht="21.75" hidden="false" customHeight="true" outlineLevel="0" collapsed="false">
      <c r="A4" s="9" t="s">
        <v>107</v>
      </c>
      <c r="B4" s="10" t="n">
        <f aca="false">COUNTIF(Ledger!O3:O40,"W")+COUNTIF(Ledger!O3:O40,"L")+COUNTIF(Ledger!O3:O40,"P")</f>
        <v>1</v>
      </c>
    </row>
    <row r="5" customFormat="false" ht="21.75" hidden="false" customHeight="true" outlineLevel="0" collapsed="false">
      <c r="A5" s="9" t="s">
        <v>108</v>
      </c>
      <c r="B5" s="10" t="n">
        <f aca="false">COUNTIF(Ledger!O3:O40,"W")</f>
        <v>1</v>
      </c>
    </row>
    <row r="6" customFormat="false" ht="21.75" hidden="false" customHeight="true" outlineLevel="0" collapsed="false">
      <c r="A6" s="9" t="s">
        <v>109</v>
      </c>
      <c r="B6" s="10" t="n">
        <f aca="false">COUNTIF(Ledger!O3:O40,"L")</f>
        <v>0</v>
      </c>
    </row>
    <row r="7" customFormat="false" ht="21.75" hidden="false" customHeight="true" outlineLevel="0" collapsed="false">
      <c r="A7" s="9" t="s">
        <v>110</v>
      </c>
      <c r="B7" s="10" t="n">
        <f aca="false">COUNTIF(Ledger!O3:O40,"P")</f>
        <v>0</v>
      </c>
    </row>
    <row r="8" customFormat="false" ht="21.75" hidden="false" customHeight="true" outlineLevel="0" collapsed="false">
      <c r="A8" s="9" t="s">
        <v>111</v>
      </c>
      <c r="B8" s="11" t="n">
        <f aca="false">IF(B4=0,"—",B5/B4)</f>
        <v>1</v>
      </c>
    </row>
    <row r="9" customFormat="false" ht="21.75" hidden="false" customHeight="true" outlineLevel="0" collapsed="false">
      <c r="A9" s="9" t="s">
        <v>112</v>
      </c>
      <c r="B9" s="12" t="n">
        <f aca="false">SUMIF(Ledger!O3:O40,"&lt;&gt;",Ledger!J3:J40)</f>
        <v>1</v>
      </c>
    </row>
    <row r="10" customFormat="false" ht="21.75" hidden="false" customHeight="true" outlineLevel="0" collapsed="false">
      <c r="A10" s="9" t="s">
        <v>113</v>
      </c>
      <c r="B10" s="13" t="n">
        <f aca="false">SUM(Ledger!R3:R40)</f>
        <v>1</v>
      </c>
    </row>
    <row r="11" customFormat="false" ht="21.75" hidden="false" customHeight="true" outlineLevel="0" collapsed="false">
      <c r="A11" s="9" t="s">
        <v>114</v>
      </c>
      <c r="B11" s="11" t="n">
        <f aca="false">IF(B9=0,"—",B10/B9)</f>
        <v>1</v>
      </c>
    </row>
    <row r="12" customFormat="false" ht="21.75" hidden="false" customHeight="true" outlineLevel="0" collapsed="false">
      <c r="A12" s="9" t="s">
        <v>115</v>
      </c>
      <c r="B12" s="13" t="n">
        <f aca="false">IF(COUNT(Ledger!Q3:Q40)=0,"—",AVERAGE(Ledger!Q3:Q40))</f>
        <v>0</v>
      </c>
    </row>
    <row r="13" customFormat="false" ht="21.75" hidden="false" customHeight="true" outlineLevel="0" collapsed="false">
      <c r="A13" s="9" t="s">
        <v>116</v>
      </c>
      <c r="B13" s="10" t="n">
        <f aca="false">COUNTA(Ledger!E3:E40)</f>
        <v>6</v>
      </c>
    </row>
    <row r="15" customFormat="false" ht="15" hidden="false" customHeight="false" outlineLevel="0" collapsed="false">
      <c r="A15" s="14" t="s">
        <v>117</v>
      </c>
      <c r="B15" s="14"/>
    </row>
    <row r="16" customFormat="false" ht="31.5" hidden="false" customHeight="true" outlineLevel="0" collapsed="false">
      <c r="A16" s="15" t="s">
        <v>118</v>
      </c>
      <c r="B16" s="15"/>
    </row>
    <row r="17" customFormat="false" ht="15" hidden="false" customHeight="false" outlineLevel="0" collapsed="false">
      <c r="A17" s="16" t="str">
        <f aca="false">IF(OR(B4&gt;=40,AND(COUNT(Ledger!Q3:Q40)&gt;=25,B12&gt;0)),"READY TO CHARGE","KEEP THE LEDGER PUBLIC")</f>
        <v>KEEP THE LEDGER PUBLIC</v>
      </c>
      <c r="B17" s="16"/>
    </row>
    <row r="19" customFormat="false" ht="15" hidden="false" customHeight="false" outlineLevel="0" collapsed="false">
      <c r="A19" s="14" t="s">
        <v>119</v>
      </c>
      <c r="B19" s="14"/>
      <c r="C19" s="14"/>
    </row>
    <row r="20" customFormat="false" ht="15" hidden="false" customHeight="false" outlineLevel="0" collapsed="false">
      <c r="A20" s="17" t="s">
        <v>4</v>
      </c>
      <c r="B20" s="17" t="s">
        <v>120</v>
      </c>
      <c r="C20" s="17" t="s">
        <v>121</v>
      </c>
    </row>
    <row r="21" customFormat="false" ht="15" hidden="false" customHeight="false" outlineLevel="0" collapsed="false">
      <c r="A21" s="18" t="s">
        <v>23</v>
      </c>
      <c r="B21" s="18" t="n">
        <f aca="false">COUNTIFS(Ledger!D3:D40,A21,Ledger!O3:O40,"&lt;&gt;")</f>
        <v>1</v>
      </c>
      <c r="C21" s="19" t="n">
        <f aca="false">SUMIF(Ledger!D3:D40,A21,Ledger!R3:R40)</f>
        <v>1</v>
      </c>
    </row>
    <row r="22" customFormat="false" ht="15" hidden="false" customHeight="false" outlineLevel="0" collapsed="false">
      <c r="A22" s="18" t="s">
        <v>45</v>
      </c>
      <c r="B22" s="18" t="n">
        <f aca="false">COUNTIFS(Ledger!D3:D40,A22,Ledger!O3:O40,"&lt;&gt;")</f>
        <v>0</v>
      </c>
      <c r="C22" s="19" t="n">
        <f aca="false">SUMIF(Ledger!D3:D40,A22,Ledger!R3:R40)</f>
        <v>0</v>
      </c>
    </row>
    <row r="23" customFormat="false" ht="15" hidden="false" customHeight="false" outlineLevel="0" collapsed="false">
      <c r="A23" s="18" t="s">
        <v>122</v>
      </c>
      <c r="B23" s="18" t="n">
        <f aca="false">COUNTIFS(Ledger!D3:D40,A23,Ledger!O3:O40,"&lt;&gt;")</f>
        <v>0</v>
      </c>
      <c r="C23" s="19" t="n">
        <f aca="false">SUMIF(Ledger!D3:D40,A23,Ledger!R3:R40)</f>
        <v>0</v>
      </c>
    </row>
  </sheetData>
  <mergeCells count="4">
    <mergeCell ref="A15:B15"/>
    <mergeCell ref="A16:B16"/>
    <mergeCell ref="A17:B17"/>
    <mergeCell ref="A19:C19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&amp;LProof dashboard</oddHeader>
    <oddFooter>&amp;RPage &amp;P</oddFooter>
  </headerFooter>
  <drawing r:id="rId1"/>
</worksheet>
</file>

<file path=xl/worksheets/sheet3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r2="http://schemas.microsoft.com/office/spreadsheetml/2015/revision2" xmlns:mc="http://schemas.openxmlformats.org/markup-compatibility/2006">
  <sheetPr filterMode="false">
    <tabColor rgb="FF111827"/>
    <pageSetUpPr fitToPage="true"/>
  </sheetPr>
  <dimension ref="A1:B18"/>
  <sheetViews>
    <sheetView showFormulas="false" showGridLines="false" showRowColHeaders="true" showZeros="true" rightToLeft="false" tabSelected="false" showOutlineSymbols="true" defaultGridColor="true" view="normal" topLeftCell="A1" colorId="64" zoomScale="100" zoomScaleNormal="100" zoomScalePageLayoutView="100" workbookViewId="0">
      <selection pane="topLeft" activeCell="A1" activeCellId="0" sqref="A1"/>
    </sheetView>
  </sheetViews>
  <sheetFormatPr defaultColWidth="8.6796875" defaultRowHeight="15" zeroHeight="false" outlineLevelRow="0" outlineLevelCol="0"/>
  <cols>
    <col collapsed="false" customWidth="true" hidden="false" outlineLevel="0" max="1" min="1" style="0" width="22"/>
    <col collapsed="false" customWidth="true" hidden="false" outlineLevel="0" max="2" min="2" style="0" width="110"/>
  </cols>
  <sheetData>
    <row r="1" customFormat="false" ht="27.75" hidden="false" customHeight="true" outlineLevel="0" collapsed="false">
      <c r="A1" s="20" t="s">
        <v>123</v>
      </c>
    </row>
    <row r="2" customFormat="false" ht="15" hidden="false" customHeight="false" outlineLevel="0" collapsed="false">
      <c r="A2" s="8" t="s">
        <v>124</v>
      </c>
    </row>
    <row r="4" customFormat="false" ht="15" hidden="false" customHeight="false" outlineLevel="0" collapsed="false">
      <c r="A4" s="14" t="s">
        <v>125</v>
      </c>
      <c r="B4" s="14"/>
    </row>
    <row r="5" customFormat="false" ht="27.75" hidden="false" customHeight="true" outlineLevel="0" collapsed="false">
      <c r="A5" s="21" t="s">
        <v>126</v>
      </c>
      <c r="B5" s="22" t="s">
        <v>127</v>
      </c>
    </row>
    <row r="6" customFormat="false" ht="27.75" hidden="false" customHeight="true" outlineLevel="0" collapsed="false">
      <c r="A6" s="21" t="s">
        <v>128</v>
      </c>
      <c r="B6" s="22" t="s">
        <v>129</v>
      </c>
    </row>
    <row r="7" customFormat="false" ht="27.75" hidden="false" customHeight="true" outlineLevel="0" collapsed="false">
      <c r="A7" s="21" t="s">
        <v>130</v>
      </c>
      <c r="B7" s="22" t="s">
        <v>131</v>
      </c>
    </row>
    <row r="8" customFormat="false" ht="27.75" hidden="false" customHeight="true" outlineLevel="0" collapsed="false">
      <c r="A8" s="21" t="s">
        <v>132</v>
      </c>
      <c r="B8" s="22" t="s">
        <v>133</v>
      </c>
    </row>
    <row r="9" customFormat="false" ht="27.75" hidden="false" customHeight="true" outlineLevel="0" collapsed="false">
      <c r="A9" s="21" t="s">
        <v>134</v>
      </c>
      <c r="B9" s="22" t="s">
        <v>135</v>
      </c>
    </row>
    <row r="10" customFormat="false" ht="27.75" hidden="false" customHeight="true" outlineLevel="0" collapsed="false">
      <c r="A10" s="21" t="s">
        <v>136</v>
      </c>
      <c r="B10" s="22" t="s">
        <v>137</v>
      </c>
    </row>
    <row r="11" customFormat="false" ht="27.75" hidden="false" customHeight="true" outlineLevel="0" collapsed="false">
      <c r="A11" s="21" t="s">
        <v>138</v>
      </c>
      <c r="B11" s="22" t="s">
        <v>139</v>
      </c>
    </row>
    <row r="13" customFormat="false" ht="15" hidden="false" customHeight="false" outlineLevel="0" collapsed="false">
      <c r="A13" s="14" t="s">
        <v>140</v>
      </c>
      <c r="B13" s="14"/>
    </row>
    <row r="14" customFormat="false" ht="27.75" hidden="false" customHeight="true" outlineLevel="0" collapsed="false">
      <c r="A14" s="23" t="s">
        <v>141</v>
      </c>
      <c r="B14" s="24" t="s">
        <v>142</v>
      </c>
    </row>
    <row r="15" customFormat="false" ht="27.75" hidden="false" customHeight="true" outlineLevel="0" collapsed="false">
      <c r="A15" s="23" t="s">
        <v>143</v>
      </c>
      <c r="B15" s="24" t="s">
        <v>144</v>
      </c>
    </row>
    <row r="16" customFormat="false" ht="27.75" hidden="false" customHeight="true" outlineLevel="0" collapsed="false">
      <c r="A16" s="23" t="s">
        <v>14</v>
      </c>
      <c r="B16" s="24" t="s">
        <v>145</v>
      </c>
    </row>
    <row r="17" customFormat="false" ht="27.75" hidden="false" customHeight="true" outlineLevel="0" collapsed="false">
      <c r="A17" s="23" t="s">
        <v>146</v>
      </c>
      <c r="B17" s="24" t="s">
        <v>147</v>
      </c>
    </row>
    <row r="18" customFormat="false" ht="27.75" hidden="false" customHeight="true" outlineLevel="0" collapsed="false">
      <c r="A18" s="23" t="s">
        <v>148</v>
      </c>
      <c r="B18" s="24" t="s">
        <v>149</v>
      </c>
    </row>
  </sheetData>
  <mergeCells count="2">
    <mergeCell ref="A4:B4"/>
    <mergeCell ref="A13:B13"/>
  </mergeCells>
  <printOptions headings="false" gridLines="false" gridLinesSet="true" horizontalCentered="false" verticalCentered="false"/>
  <pageMargins left="0.75" right="0.75" top="1" bottom="1" header="0.5" footer="0.5"/>
  <pageSetup paperSize="3" scale="100" fitToWidth="1" fitToHeight="1" pageOrder="downThenOver" orientation="landscape" blackAndWhite="false" draft="false" cellComments="none" horizontalDpi="300" verticalDpi="300" copies="1"/>
  <headerFooter differentFirst="false" differentOddEven="false">
    <oddHeader>&amp;LGATE / CHAIN LEDGER</oddHeader>
    <oddFooter>&amp;LPublic proof ledger — not a lock&amp;RPage &amp;P</oddFooter>
  </headerFooter>
</worksheet>
</file>

<file path=docProps/app.xml><?xml version="1.0" encoding="utf-8"?>
<Properties xmlns="http://schemas.openxmlformats.org/officeDocument/2006/extended-properties" xmlns:vt="http://schemas.openxmlformats.org/officeDocument/2006/docPropsVTypes">
  <Template/>
  <TotalTime>0</TotalTime>
  <Application>LibreOffice/7.4.7.2$Linux_X86_64 LibreOffice_project/40$Build-2</Application>
  <AppVersion>15.0000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terms:created xsi:type="dcterms:W3CDTF">2026-10-03T20:19:07Z</dcterms:created>
  <dc:creator>openpyxl</dc:creator>
  <dc:description/>
  <dc:language>en-US</dc:language>
  <cp:lastModifiedBy/>
  <dcterms:modified xsi:type="dcterms:W3CDTF">2026-10-03T20:19:10Z</dcterms:modified>
  <cp:revision>1</cp:revision>
  <dc:subject/>
  <dc:title/>
</cp:coreProperties>
</file>

<file path=docProps/custom.xml><?xml version="1.0" encoding="utf-8"?>
<Properties xmlns="http://schemas.openxmlformats.org/officeDocument/2006/custom-properties" xmlns:vt="http://schemas.openxmlformats.org/officeDocument/2006/docPropsVTypes"/>
</file>